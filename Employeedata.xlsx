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BD659C66-6593-417A-A563-6F6A9FB964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C14" i="1"/>
  <c r="G14" i="1"/>
  <c r="H12" i="1"/>
  <c r="F12" i="1"/>
  <c r="D12" i="1"/>
  <c r="B12" i="1"/>
</calcChain>
</file>

<file path=xl/sharedStrings.xml><?xml version="1.0" encoding="utf-8"?>
<sst xmlns="http://schemas.openxmlformats.org/spreadsheetml/2006/main" count="32" uniqueCount="27">
  <si>
    <t>EmployeeID</t>
  </si>
  <si>
    <t>EmployeeName</t>
  </si>
  <si>
    <t>Department</t>
  </si>
  <si>
    <t>Salary</t>
  </si>
  <si>
    <t>HireDate</t>
  </si>
  <si>
    <t>John Smith</t>
  </si>
  <si>
    <t>Sales</t>
  </si>
  <si>
    <t>Jane Doe</t>
  </si>
  <si>
    <t>Marketing</t>
  </si>
  <si>
    <t>Bob Johnson</t>
  </si>
  <si>
    <t>IT</t>
  </si>
  <si>
    <t>Sarah Brown</t>
  </si>
  <si>
    <t>HR</t>
  </si>
  <si>
    <t>Micheal Lee</t>
  </si>
  <si>
    <t>Finance</t>
  </si>
  <si>
    <t>Laura White</t>
  </si>
  <si>
    <t>Mark Davis</t>
  </si>
  <si>
    <t>Emily Adams</t>
  </si>
  <si>
    <t>Chris Evans</t>
  </si>
  <si>
    <t>Lisa Taylor</t>
  </si>
  <si>
    <t>Total Salary=</t>
  </si>
  <si>
    <t>Average=</t>
  </si>
  <si>
    <t>Max Salary=</t>
  </si>
  <si>
    <t>Min Salary=</t>
  </si>
  <si>
    <t>No. of employess in sales dept=</t>
  </si>
  <si>
    <t>No. of employees hired before january=</t>
  </si>
  <si>
    <t>SumIf=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</si>
</sst>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K23" sqref="K23"/>
    </sheetView>
  </sheetViews>
  <sheetFormatPr defaultRowHeight="15" x14ac:dyDescent="0.25"/>
  <sheetData>
    <row r="1" spans="1:10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</row>
    <row r="2" spans="1:10" x14ac:dyDescent="0.25">
      <c r="A2" s="5">
        <v>1</v>
      </c>
      <c r="B2" s="5"/>
      <c r="C2" s="5" t="s">
        <v>5</v>
      </c>
      <c r="D2" s="5"/>
      <c r="E2" s="5" t="s">
        <v>6</v>
      </c>
      <c r="F2" s="5"/>
      <c r="G2" s="5">
        <v>50000</v>
      </c>
      <c r="H2" s="5"/>
      <c r="I2" s="4">
        <v>43600</v>
      </c>
      <c r="J2" s="5"/>
    </row>
    <row r="3" spans="1:10" x14ac:dyDescent="0.25">
      <c r="A3" s="5">
        <v>2</v>
      </c>
      <c r="B3" s="5"/>
      <c r="C3" s="5" t="s">
        <v>7</v>
      </c>
      <c r="D3" s="5"/>
      <c r="E3" s="5" t="s">
        <v>8</v>
      </c>
      <c r="F3" s="5"/>
      <c r="G3" s="5">
        <v>55000</v>
      </c>
      <c r="H3" s="5"/>
      <c r="I3" s="4">
        <v>43871</v>
      </c>
      <c r="J3" s="5"/>
    </row>
    <row r="4" spans="1:10" x14ac:dyDescent="0.25">
      <c r="A4" s="5">
        <v>3</v>
      </c>
      <c r="B4" s="5"/>
      <c r="C4" s="5" t="s">
        <v>9</v>
      </c>
      <c r="D4" s="5"/>
      <c r="E4" s="5" t="s">
        <v>10</v>
      </c>
      <c r="F4" s="5"/>
      <c r="G4" s="5">
        <v>60000</v>
      </c>
      <c r="H4" s="5"/>
      <c r="I4" s="4">
        <v>43364</v>
      </c>
      <c r="J4" s="5"/>
    </row>
    <row r="5" spans="1:10" x14ac:dyDescent="0.25">
      <c r="A5" s="5">
        <v>4</v>
      </c>
      <c r="B5" s="5"/>
      <c r="C5" s="5" t="s">
        <v>11</v>
      </c>
      <c r="D5" s="5"/>
      <c r="E5" s="5" t="s">
        <v>12</v>
      </c>
      <c r="F5" s="5"/>
      <c r="G5" s="5">
        <v>48000</v>
      </c>
      <c r="H5" s="5"/>
      <c r="I5" s="4">
        <v>44289</v>
      </c>
      <c r="J5" s="5"/>
    </row>
    <row r="6" spans="1:10" x14ac:dyDescent="0.25">
      <c r="A6" s="5">
        <v>5</v>
      </c>
      <c r="B6" s="5"/>
      <c r="C6" s="5" t="s">
        <v>13</v>
      </c>
      <c r="D6" s="5"/>
      <c r="E6" s="5" t="s">
        <v>14</v>
      </c>
      <c r="F6" s="5"/>
      <c r="G6" s="5">
        <v>52000</v>
      </c>
      <c r="H6" s="5"/>
      <c r="I6" s="4">
        <v>43069</v>
      </c>
      <c r="J6" s="5"/>
    </row>
    <row r="7" spans="1:10" x14ac:dyDescent="0.25">
      <c r="A7" s="5">
        <v>6</v>
      </c>
      <c r="B7" s="5"/>
      <c r="C7" s="5" t="s">
        <v>15</v>
      </c>
      <c r="D7" s="5"/>
      <c r="E7" s="5" t="s">
        <v>10</v>
      </c>
      <c r="F7" s="5"/>
      <c r="G7" s="5">
        <v>58000</v>
      </c>
      <c r="H7" s="5"/>
      <c r="I7" s="4">
        <v>43813</v>
      </c>
      <c r="J7" s="5"/>
    </row>
    <row r="8" spans="1:10" x14ac:dyDescent="0.25">
      <c r="A8" s="5">
        <v>7</v>
      </c>
      <c r="B8" s="5"/>
      <c r="C8" s="5" t="s">
        <v>16</v>
      </c>
      <c r="D8" s="5"/>
      <c r="E8" s="5" t="s">
        <v>6</v>
      </c>
      <c r="F8" s="5"/>
      <c r="G8" s="5">
        <v>53000</v>
      </c>
      <c r="H8" s="5"/>
      <c r="I8" s="4">
        <v>44034</v>
      </c>
      <c r="J8" s="5"/>
    </row>
    <row r="9" spans="1:10" x14ac:dyDescent="0.25">
      <c r="A9" s="5">
        <v>8</v>
      </c>
      <c r="B9" s="5"/>
      <c r="C9" s="5" t="s">
        <v>17</v>
      </c>
      <c r="D9" s="5"/>
      <c r="E9" s="5" t="s">
        <v>8</v>
      </c>
      <c r="F9" s="5"/>
      <c r="G9" s="5">
        <v>56000</v>
      </c>
      <c r="H9" s="5"/>
      <c r="I9" s="4">
        <v>44579</v>
      </c>
      <c r="J9" s="5"/>
    </row>
    <row r="10" spans="1:10" x14ac:dyDescent="0.25">
      <c r="A10" s="5">
        <v>9</v>
      </c>
      <c r="B10" s="5"/>
      <c r="C10" s="5" t="s">
        <v>18</v>
      </c>
      <c r="D10" s="5"/>
      <c r="E10" s="5" t="s">
        <v>14</v>
      </c>
      <c r="F10" s="5"/>
      <c r="G10" s="5">
        <v>51000</v>
      </c>
      <c r="H10" s="5"/>
      <c r="I10" s="4">
        <v>43229</v>
      </c>
      <c r="J10" s="5"/>
    </row>
    <row r="11" spans="1:10" x14ac:dyDescent="0.25">
      <c r="A11" s="5">
        <v>10</v>
      </c>
      <c r="B11" s="5"/>
      <c r="C11" s="5" t="s">
        <v>19</v>
      </c>
      <c r="D11" s="5"/>
      <c r="E11" s="5" t="s">
        <v>12</v>
      </c>
      <c r="F11" s="5"/>
      <c r="G11" s="5">
        <v>49000</v>
      </c>
      <c r="H11" s="5"/>
      <c r="I11" s="4">
        <v>44444</v>
      </c>
      <c r="J11" s="5"/>
    </row>
    <row r="12" spans="1:10" ht="30" customHeight="1" x14ac:dyDescent="0.25">
      <c r="A12" s="1" t="s">
        <v>20</v>
      </c>
      <c r="B12">
        <f>SUM(G2:H11)</f>
        <v>532000</v>
      </c>
      <c r="C12" s="1" t="s">
        <v>21</v>
      </c>
      <c r="D12">
        <f>AVERAGE(G2:H11)</f>
        <v>53200</v>
      </c>
      <c r="E12" s="1" t="s">
        <v>22</v>
      </c>
      <c r="F12">
        <f>MAX(G2:H11)</f>
        <v>60000</v>
      </c>
      <c r="G12" s="1" t="s">
        <v>23</v>
      </c>
      <c r="H12">
        <f>MIN(G2:H11)</f>
        <v>48000</v>
      </c>
    </row>
    <row r="14" spans="1:10" ht="50.25" customHeight="1" x14ac:dyDescent="0.25">
      <c r="A14" s="2" t="s">
        <v>26</v>
      </c>
      <c r="B14" s="2"/>
      <c r="C14">
        <f>SUMIFS(G2:H11,E2:F11,"IT")</f>
        <v>118000</v>
      </c>
      <c r="E14" s="2" t="s">
        <v>24</v>
      </c>
      <c r="F14" s="2"/>
      <c r="G14">
        <f>COUNTIF(E2:F11,"Sales")</f>
        <v>2</v>
      </c>
      <c r="H14" s="2" t="s">
        <v>25</v>
      </c>
      <c r="I14" s="2"/>
      <c r="J14">
        <f>COUNTIF(I2:J11,"&lt;2020-01-01")</f>
        <v>5</v>
      </c>
    </row>
  </sheetData>
  <mergeCells count="58">
    <mergeCell ref="A1:B1"/>
    <mergeCell ref="C1:D1"/>
    <mergeCell ref="E1:F1"/>
    <mergeCell ref="G1:H1"/>
    <mergeCell ref="A2:B2"/>
    <mergeCell ref="G2:H2"/>
    <mergeCell ref="A10:B10"/>
    <mergeCell ref="A11:B11"/>
    <mergeCell ref="C2:D2"/>
    <mergeCell ref="C3:D3"/>
    <mergeCell ref="C4:D4"/>
    <mergeCell ref="C5:D5"/>
    <mergeCell ref="C6:D6"/>
    <mergeCell ref="C7:D7"/>
    <mergeCell ref="C8:D8"/>
    <mergeCell ref="A4:B4"/>
    <mergeCell ref="A5:B5"/>
    <mergeCell ref="A6:B6"/>
    <mergeCell ref="A7:B7"/>
    <mergeCell ref="A8:B8"/>
    <mergeCell ref="A9:B9"/>
    <mergeCell ref="A3:B3"/>
    <mergeCell ref="C9:D9"/>
    <mergeCell ref="C10:D10"/>
    <mergeCell ref="C11:D11"/>
    <mergeCell ref="E2:F2"/>
    <mergeCell ref="E3:F3"/>
    <mergeCell ref="E4:F4"/>
    <mergeCell ref="E5:F5"/>
    <mergeCell ref="E6:F6"/>
    <mergeCell ref="E7:F7"/>
    <mergeCell ref="E8:F8"/>
    <mergeCell ref="G3:H3"/>
    <mergeCell ref="G4:H4"/>
    <mergeCell ref="G5:H5"/>
    <mergeCell ref="G6:H6"/>
    <mergeCell ref="I6:J6"/>
    <mergeCell ref="I10:J10"/>
    <mergeCell ref="I11:J11"/>
    <mergeCell ref="G9:H9"/>
    <mergeCell ref="G10:H10"/>
    <mergeCell ref="G11:H11"/>
    <mergeCell ref="E14:F14"/>
    <mergeCell ref="H14:I14"/>
    <mergeCell ref="A14:B14"/>
    <mergeCell ref="I1:J1"/>
    <mergeCell ref="I2:J2"/>
    <mergeCell ref="I3:J3"/>
    <mergeCell ref="I4:J4"/>
    <mergeCell ref="I5:J5"/>
    <mergeCell ref="I7:J7"/>
    <mergeCell ref="E9:F9"/>
    <mergeCell ref="E10:F10"/>
    <mergeCell ref="E11:F11"/>
    <mergeCell ref="G7:H7"/>
    <mergeCell ref="G8:H8"/>
    <mergeCell ref="I8:J8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2026-01-02T09:02:19Z</dcterms:modified>
</cp:coreProperties>
</file>