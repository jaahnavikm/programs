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314CE46F-9591-415F-984B-1A977AB6E4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Sheet1!$A$13:$B$13</definedName>
  </definedNames>
  <calcPr calcId="191029"/>
  <pivotCaches>
    <pivotCache cacheId="2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O4" i="1"/>
  <c r="B15" i="1"/>
  <c r="O3" i="1"/>
  <c r="B14" i="1"/>
  <c r="O2" i="1"/>
  <c r="O10" i="1"/>
  <c r="O11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<sst xmlns="http://schemas.openxmlformats.org/spreadsheetml/2006/main" count="95" uniqueCount="57">
  <si>
    <t>Order ID</t>
  </si>
  <si>
    <t>Customer ID</t>
  </si>
  <si>
    <t>Gender</t>
  </si>
  <si>
    <t>Age</t>
  </si>
  <si>
    <t>Datev Of Order</t>
  </si>
  <si>
    <t>Month</t>
  </si>
  <si>
    <t>Online Platform</t>
  </si>
  <si>
    <t>Quantity</t>
  </si>
  <si>
    <t>Amount</t>
  </si>
  <si>
    <t>Shipping City</t>
  </si>
  <si>
    <t>Other details</t>
  </si>
  <si>
    <t>Size</t>
  </si>
  <si>
    <t xml:space="preserve">Category of Product </t>
  </si>
  <si>
    <t>Male</t>
  </si>
  <si>
    <t>Female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</si>
  <si>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</si>
  <si>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</si>
  <si>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</si>
  <si>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</si>
  <si>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</si>
  <si>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</si>
  <si>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</si>
  <si>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</si>
  <si>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</si>
  <si>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</si>
  <si>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Website</t>
  </si>
  <si>
    <t>Mobile App</t>
  </si>
  <si>
    <t>In-Store</t>
  </si>
  <si>
    <t>Appearl</t>
  </si>
  <si>
    <t>Electronics</t>
  </si>
  <si>
    <t>M</t>
  </si>
  <si>
    <t xml:space="preserve"> -</t>
  </si>
  <si>
    <t>S</t>
  </si>
  <si>
    <t>L</t>
  </si>
  <si>
    <t>New York</t>
  </si>
  <si>
    <t>Los Angeles</t>
  </si>
  <si>
    <t>Chicago</t>
  </si>
  <si>
    <t>Hourston</t>
  </si>
  <si>
    <t>Miami</t>
  </si>
  <si>
    <t>Seattle</t>
  </si>
  <si>
    <t>Boston</t>
  </si>
  <si>
    <t>San Francisco</t>
  </si>
  <si>
    <t>Chikago</t>
  </si>
  <si>
    <t>Gift wrapping requested</t>
  </si>
  <si>
    <t>Special delivery</t>
  </si>
  <si>
    <t>Customer loyalty card</t>
  </si>
  <si>
    <t>Gift message induced</t>
  </si>
  <si>
    <t>Expedited Shipping</t>
  </si>
  <si>
    <t xml:space="preserve">Preferred Customer  </t>
  </si>
  <si>
    <t>Total Sales By Category</t>
  </si>
  <si>
    <t>Home Decor</t>
  </si>
  <si>
    <t>Row Labels</t>
  </si>
  <si>
    <t>Sum of Amount</t>
  </si>
  <si>
    <t>Apparel</t>
  </si>
  <si>
    <t>HomeDecor</t>
  </si>
  <si>
    <t>Grand Total</t>
  </si>
  <si>
    <t>Sum of 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</si>
</sst>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[Experiment11.xlsx]Sheet1!PivotTable7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Sheet1!$A$21:$A$24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HomeDecor</c:v>
                </c:pt>
              </c:strCache>
            </c:strRef>
          </c:cat>
          <c:val>
            <c:numRef>
              <c:f>Sheet1!$B$21:$B$24</c:f>
              <c:numCache>
                <c:formatCode>General</c:formatCode>
                <c:ptCount val="3"/>
                <c:pt idx="0">
                  <c:v>370</c:v>
                </c:pt>
                <c:pt idx="1">
                  <c:v>930</c:v>
                </c:pt>
                <c:pt idx="2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7-4359-B660-719D09B65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4853352"/>
        <c:axId val="744853712"/>
      </c:barChart>
      <c:catAx>
        <c:axId val="744853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53712"/>
        <c:crosses val="autoZero"/>
        <c:auto val="1"/>
        <c:lblAlgn val="ctr"/>
        <c:lblOffset val="100"/>
        <c:noMultiLvlLbl val="0"/>
      </c:catAx>
      <c:valAx>
        <c:axId val="74485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5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[Experiment11.xlsx]Sheet1!PivotTable7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Sheet1!$A$21:$A$24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HomeDecor</c:v>
                </c:pt>
              </c:strCache>
            </c:strRef>
          </c:cat>
          <c:val>
            <c:numRef>
              <c:f>Sheet1!$B$21:$B$24</c:f>
              <c:numCache>
                <c:formatCode>General</c:formatCode>
                <c:ptCount val="3"/>
                <c:pt idx="0">
                  <c:v>370</c:v>
                </c:pt>
                <c:pt idx="1">
                  <c:v>930</c:v>
                </c:pt>
                <c:pt idx="2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0-44D8-BB30-8E9A423F5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[Experiment11.xlsx]Sheet1!PivotTable7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Sheet1!$A$21:$A$24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HomeDecor</c:v>
                </c:pt>
              </c:strCache>
            </c:strRef>
          </c:cat>
          <c:val>
            <c:numRef>
              <c:f>Sheet1!$B$21:$B$24</c:f>
              <c:numCache>
                <c:formatCode>General</c:formatCode>
                <c:ptCount val="3"/>
                <c:pt idx="0">
                  <c:v>370</c:v>
                </c:pt>
                <c:pt idx="1">
                  <c:v>930</c:v>
                </c:pt>
                <c:pt idx="2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2-43EE-AC08-4A4AC3ADE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4837872"/>
        <c:axId val="744841112"/>
      </c:barChart>
      <c:catAx>
        <c:axId val="74483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41112"/>
        <c:crosses val="autoZero"/>
        <c:auto val="1"/>
        <c:lblAlgn val="ctr"/>
        <c:lblOffset val="100"/>
        <c:noMultiLvlLbl val="0"/>
      </c:catAx>
      <c:valAx>
        <c:axId val="74484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3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676497</xdr:colOff>
      <xdr:row>12</xdr:row>
      <xdr:rowOff>131884</xdr:rowOff>
    </xdr:from>
    <xdr:to>
      <xdr:col>9</xdr:col>
      <xdr:colOff>381000</xdr:colOff>
      <xdr:row>26</xdr:row>
      <xdr:rowOff>43961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04B63-27C6-94AA-E533-7B2FA0D9A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644768</xdr:colOff>
      <xdr:row>12</xdr:row>
      <xdr:rowOff>137745</xdr:rowOff>
    </xdr:from>
    <xdr:to>
      <xdr:col>12</xdr:col>
      <xdr:colOff>1553308</xdr:colOff>
      <xdr:row>26</xdr:row>
      <xdr:rowOff>58615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012128-1D1C-2B99-444C-816641B6C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153864</xdr:colOff>
      <xdr:row>12</xdr:row>
      <xdr:rowOff>152400</xdr:rowOff>
    </xdr:from>
    <xdr:to>
      <xdr:col>6</xdr:col>
      <xdr:colOff>278423</xdr:colOff>
      <xdr:row>26</xdr:row>
      <xdr:rowOff>43962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F1DECC-056D-793F-48C5-46AEFD6B2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4.52547789352" createdVersion="8" refreshedVersion="8" minRefreshableVersion="3" recordCount="3" xr:uid="{ED6479DF-0CC1-41D1-911E-51E5E994C3D2}">
  <cacheSource type="worksheet">
    <worksheetSource ref="A13:B16" sheet="Sheet1"/>
  </cacheSource>
  <cacheFields count="2">
    <cacheField name="Row Labels" numFmtId="0">
      <sharedItems count="3">
        <s v="Apparel"/>
        <s v="Electronics"/>
        <s v="HomeDecor"/>
      </sharedItems>
    </cacheField>
    <cacheField name="Sum of Amount" numFmtId="0">
      <sharedItems containsSemiMixedTypes="0" containsString="0" containsNumber="1" containsInteger="1" minValue="280" maxValue="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70"/>
  </r>
  <r>
    <x v="1"/>
    <n v="930"/>
  </r>
  <r>
    <x v="2"/>
    <n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F88A2-F011-44AC-A7D8-F597EDC2CE0C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B24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um of Amount" fld="1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4"/>
  <sheetViews>
    <sheetView tabSelected="1" zoomScale="65" zoomScaleNormal="106" workbookViewId="0">
      <selection activeCell="O2" sqref="O2"/>
    </sheetView>
  </sheetViews>
  <sheetFormatPr defaultRowHeight="15" x14ac:dyDescent="0.25"/>
  <cols>
    <col min="1" max="1" width="19.28515625" customWidth="1"/>
    <col min="2" max="2" width="33.42578125" customWidth="1"/>
    <col min="3" max="3" width="13.7109375" customWidth="1"/>
    <col min="4" max="4" width="8.85546875" customWidth="1"/>
    <col min="5" max="5" width="18.7109375" customWidth="1"/>
    <col min="6" max="6" width="17.28515625" customWidth="1"/>
    <col min="7" max="7" width="27.28515625" customWidth="1"/>
    <col min="8" max="8" width="27.140625" customWidth="1"/>
    <col min="9" max="9" width="11.85546875" customWidth="1"/>
    <col min="10" max="10" width="16.28515625" customWidth="1"/>
    <col min="11" max="11" width="17.7109375" customWidth="1"/>
    <col min="12" max="12" width="18.42578125" customWidth="1"/>
    <col min="13" max="13" width="27.28515625" customWidth="1"/>
    <col min="15" max="15" width="27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11</v>
      </c>
      <c r="J1" t="s">
        <v>7</v>
      </c>
      <c r="K1" t="s">
        <v>8</v>
      </c>
      <c r="L1" t="s">
        <v>9</v>
      </c>
      <c r="M1" t="s">
        <v>10</v>
      </c>
      <c r="O1" t="s">
        <v>49</v>
      </c>
    </row>
    <row r="2" spans="1:15" x14ac:dyDescent="0.25">
      <c r="A2">
        <v>1001</v>
      </c>
      <c r="B2">
        <v>101</v>
      </c>
      <c r="C2" t="s">
        <v>13</v>
      </c>
      <c r="D2">
        <v>35</v>
      </c>
      <c r="E2" s="1">
        <v>44936</v>
      </c>
      <c r="F2" t="s">
        <v>15</v>
      </c>
      <c r="G2" t="s">
        <v>25</v>
      </c>
      <c r="H2" t="s">
        <v>28</v>
      </c>
      <c r="I2" t="s">
        <v>30</v>
      </c>
      <c r="J2">
        <v>2</v>
      </c>
      <c r="K2" s="2">
        <v>100</v>
      </c>
      <c r="L2" t="s">
        <v>34</v>
      </c>
      <c r="M2" t="s">
        <v>43</v>
      </c>
      <c r="O2">
        <f>SUMIFS(K:K,H:H,"Appearl")</f>
        <v>370</v>
      </c>
    </row>
    <row r="3" spans="1:15" x14ac:dyDescent="0.25">
      <c r="A3">
        <v>1002</v>
      </c>
      <c r="B3">
        <v>102</v>
      </c>
      <c r="C3" t="s">
        <v>14</v>
      </c>
      <c r="D3">
        <v>28</v>
      </c>
      <c r="E3" s="1">
        <v>44972</v>
      </c>
      <c r="F3" t="s">
        <v>16</v>
      </c>
      <c r="G3" t="s">
        <v>26</v>
      </c>
      <c r="H3" t="s">
        <v>29</v>
      </c>
      <c r="I3" t="s">
        <v>31</v>
      </c>
      <c r="J3">
        <v>1</v>
      </c>
      <c r="K3" s="2">
        <v>200</v>
      </c>
      <c r="L3" t="s">
        <v>35</v>
      </c>
      <c r="M3" t="s">
        <v>44</v>
      </c>
      <c r="O3">
        <f>SUMIFS(K:K,H:H,"Electronics")</f>
        <v>930</v>
      </c>
    </row>
    <row r="4" spans="1:15" x14ac:dyDescent="0.25">
      <c r="A4">
        <v>1003</v>
      </c>
      <c r="B4">
        <v>103</v>
      </c>
      <c r="C4" t="s">
        <v>13</v>
      </c>
      <c r="D4">
        <v>45</v>
      </c>
      <c r="E4" s="1">
        <v>45005</v>
      </c>
      <c r="F4" t="s">
        <v>17</v>
      </c>
      <c r="G4" t="s">
        <v>25</v>
      </c>
      <c r="H4" t="s">
        <v>50</v>
      </c>
      <c r="I4" t="s">
        <v>31</v>
      </c>
      <c r="J4">
        <v>3</v>
      </c>
      <c r="K4" s="2">
        <v>80</v>
      </c>
      <c r="L4" t="s">
        <v>36</v>
      </c>
      <c r="M4" t="s">
        <v>45</v>
      </c>
      <c r="O4">
        <f>SUMIFS(K:K,H:H,"Home Decor")</f>
        <v>280</v>
      </c>
    </row>
    <row r="5" spans="1:15" x14ac:dyDescent="0.25">
      <c r="A5">
        <v>1004</v>
      </c>
      <c r="B5">
        <v>104</v>
      </c>
      <c r="C5" t="s">
        <v>14</v>
      </c>
      <c r="D5">
        <v>32</v>
      </c>
      <c r="E5" s="1">
        <v>45041</v>
      </c>
      <c r="F5" t="s">
        <v>18</v>
      </c>
      <c r="G5" t="s">
        <v>27</v>
      </c>
      <c r="H5" t="s">
        <v>28</v>
      </c>
      <c r="I5" t="s">
        <v>32</v>
      </c>
      <c r="J5">
        <v>4</v>
      </c>
      <c r="K5" s="2">
        <v>150</v>
      </c>
      <c r="L5" t="s">
        <v>37</v>
      </c>
      <c r="M5" t="s">
        <v>46</v>
      </c>
      <c r="O5">
        <f>SUMIFS(K:K,H:H,"Appearl")</f>
        <v>370</v>
      </c>
    </row>
    <row r="6" spans="1:15" x14ac:dyDescent="0.25">
      <c r="A6">
        <v>1005</v>
      </c>
      <c r="B6">
        <v>105</v>
      </c>
      <c r="C6" t="s">
        <v>13</v>
      </c>
      <c r="D6">
        <v>38</v>
      </c>
      <c r="E6" s="1">
        <v>45076</v>
      </c>
      <c r="F6" t="s">
        <v>19</v>
      </c>
      <c r="G6" t="s">
        <v>26</v>
      </c>
      <c r="H6" t="s">
        <v>29</v>
      </c>
      <c r="I6" t="s">
        <v>31</v>
      </c>
      <c r="J6">
        <v>2</v>
      </c>
      <c r="K6" s="2">
        <v>250</v>
      </c>
      <c r="L6" t="s">
        <v>38</v>
      </c>
      <c r="M6" t="s">
        <v>47</v>
      </c>
      <c r="O6">
        <f>SUMIFS(K:K,H:H,"Electronics")</f>
        <v>930</v>
      </c>
    </row>
    <row r="7" spans="1:15" x14ac:dyDescent="0.25">
      <c r="A7">
        <v>1006</v>
      </c>
      <c r="B7">
        <v>106</v>
      </c>
      <c r="C7" t="s">
        <v>14</v>
      </c>
      <c r="D7">
        <v>29</v>
      </c>
      <c r="E7" s="1">
        <v>45082</v>
      </c>
      <c r="F7" t="s">
        <v>20</v>
      </c>
      <c r="G7" t="s">
        <v>25</v>
      </c>
      <c r="H7" t="s">
        <v>29</v>
      </c>
      <c r="I7" t="s">
        <v>31</v>
      </c>
      <c r="J7">
        <v>3</v>
      </c>
      <c r="K7" s="2">
        <v>180</v>
      </c>
      <c r="L7" t="s">
        <v>39</v>
      </c>
      <c r="M7" t="s">
        <v>31</v>
      </c>
      <c r="O7">
        <f>SUMIFS(K:K,H:H,"Electronics")</f>
        <v>930</v>
      </c>
    </row>
    <row r="8" spans="1:15" x14ac:dyDescent="0.25">
      <c r="A8">
        <v>1007</v>
      </c>
      <c r="B8">
        <v>107</v>
      </c>
      <c r="C8" t="s">
        <v>13</v>
      </c>
      <c r="D8">
        <v>40</v>
      </c>
      <c r="E8" s="1">
        <v>45117</v>
      </c>
      <c r="F8" t="s">
        <v>21</v>
      </c>
      <c r="G8" t="s">
        <v>27</v>
      </c>
      <c r="H8" t="s">
        <v>50</v>
      </c>
      <c r="I8" t="s">
        <v>31</v>
      </c>
      <c r="J8">
        <v>2</v>
      </c>
      <c r="K8" s="2">
        <v>90</v>
      </c>
      <c r="L8" t="s">
        <v>40</v>
      </c>
      <c r="M8" t="s">
        <v>48</v>
      </c>
      <c r="O8">
        <f>SUMIFS(K:K,H:H,"Home Decor")</f>
        <v>280</v>
      </c>
    </row>
    <row r="9" spans="1:15" x14ac:dyDescent="0.25">
      <c r="A9">
        <v>1008</v>
      </c>
      <c r="B9">
        <v>108</v>
      </c>
      <c r="C9" t="s">
        <v>14</v>
      </c>
      <c r="D9">
        <v>35</v>
      </c>
      <c r="E9" s="1">
        <v>45153</v>
      </c>
      <c r="F9" t="s">
        <v>22</v>
      </c>
      <c r="G9" t="s">
        <v>26</v>
      </c>
      <c r="H9" t="s">
        <v>28</v>
      </c>
      <c r="I9" t="s">
        <v>33</v>
      </c>
      <c r="J9">
        <v>2</v>
      </c>
      <c r="K9" s="2">
        <v>120</v>
      </c>
      <c r="L9" t="s">
        <v>41</v>
      </c>
      <c r="M9" t="s">
        <v>31</v>
      </c>
      <c r="O9">
        <f>SUMIFS(K:K,H:H,"Appearl")</f>
        <v>370</v>
      </c>
    </row>
    <row r="10" spans="1:15" x14ac:dyDescent="0.25">
      <c r="A10">
        <v>1009</v>
      </c>
      <c r="B10">
        <v>109</v>
      </c>
      <c r="C10" t="s">
        <v>13</v>
      </c>
      <c r="D10">
        <v>30</v>
      </c>
      <c r="E10" s="1">
        <v>45189</v>
      </c>
      <c r="F10" t="s">
        <v>23</v>
      </c>
      <c r="G10" t="s">
        <v>25</v>
      </c>
      <c r="H10" t="s">
        <v>29</v>
      </c>
      <c r="I10" t="s">
        <v>31</v>
      </c>
      <c r="J10">
        <v>1</v>
      </c>
      <c r="K10" s="2">
        <v>300</v>
      </c>
      <c r="L10" t="s">
        <v>42</v>
      </c>
      <c r="M10" t="s">
        <v>31</v>
      </c>
      <c r="O10">
        <f>SUMIFS(K:K,H:H,"Electronics")</f>
        <v>930</v>
      </c>
    </row>
    <row r="11" spans="1:15" x14ac:dyDescent="0.25">
      <c r="A11">
        <v>1010</v>
      </c>
      <c r="B11">
        <v>110</v>
      </c>
      <c r="C11" t="s">
        <v>14</v>
      </c>
      <c r="D11">
        <v>45</v>
      </c>
      <c r="E11" s="1">
        <v>45224</v>
      </c>
      <c r="F11" t="s">
        <v>24</v>
      </c>
      <c r="G11" t="s">
        <v>26</v>
      </c>
      <c r="H11" t="s">
        <v>50</v>
      </c>
      <c r="I11" t="s">
        <v>31</v>
      </c>
      <c r="J11">
        <v>3</v>
      </c>
      <c r="K11" s="2">
        <v>110</v>
      </c>
      <c r="L11" t="s">
        <v>34</v>
      </c>
      <c r="M11" t="s">
        <v>31</v>
      </c>
      <c r="O11">
        <f>SUMIFS(K:K,H:H,"Home Decor")</f>
        <v>280</v>
      </c>
    </row>
    <row r="13" spans="1:15" x14ac:dyDescent="0.25">
      <c r="A13" t="s">
        <v>51</v>
      </c>
      <c r="B13" t="s">
        <v>52</v>
      </c>
      <c r="H13" s="2"/>
    </row>
    <row r="14" spans="1:15" x14ac:dyDescent="0.25">
      <c r="A14" t="s">
        <v>53</v>
      </c>
      <c r="B14">
        <f>SUMIFS(K:K,H:H,"Appearl")</f>
        <v>370</v>
      </c>
      <c r="H14" s="2"/>
    </row>
    <row r="15" spans="1:15" x14ac:dyDescent="0.25">
      <c r="A15" t="s">
        <v>29</v>
      </c>
      <c r="B15">
        <f>SUMIFS(K:K,H:H,"Electronics")</f>
        <v>930</v>
      </c>
      <c r="H15" s="2"/>
    </row>
    <row r="16" spans="1:15" x14ac:dyDescent="0.25">
      <c r="A16" t="s">
        <v>54</v>
      </c>
      <c r="B16">
        <f>SUMIFS(K:K,H:H,"Home Decor")</f>
        <v>280</v>
      </c>
      <c r="H16" s="2"/>
    </row>
    <row r="17" spans="1:8" x14ac:dyDescent="0.25">
      <c r="H17" s="2"/>
    </row>
    <row r="18" spans="1:8" x14ac:dyDescent="0.25">
      <c r="H18" s="2"/>
    </row>
    <row r="19" spans="1:8" x14ac:dyDescent="0.25">
      <c r="H19" s="2"/>
    </row>
    <row r="20" spans="1:8" x14ac:dyDescent="0.25">
      <c r="A20" s="3" t="s">
        <v>51</v>
      </c>
      <c r="B20" t="s">
        <v>56</v>
      </c>
      <c r="H20" s="2"/>
    </row>
    <row r="21" spans="1:8" x14ac:dyDescent="0.25">
      <c r="A21" s="4" t="s">
        <v>53</v>
      </c>
      <c r="B21" s="5">
        <v>370</v>
      </c>
      <c r="H21" s="2"/>
    </row>
    <row r="22" spans="1:8" x14ac:dyDescent="0.25">
      <c r="A22" s="4" t="s">
        <v>29</v>
      </c>
      <c r="B22" s="5">
        <v>930</v>
      </c>
      <c r="H22" s="2"/>
    </row>
    <row r="23" spans="1:8" x14ac:dyDescent="0.25">
      <c r="A23" s="4" t="s">
        <v>54</v>
      </c>
      <c r="B23" s="5">
        <v>280</v>
      </c>
      <c r="H23" s="2"/>
    </row>
    <row r="24" spans="1:8" x14ac:dyDescent="0.25">
      <c r="A24" s="4" t="s">
        <v>55</v>
      </c>
      <c r="B24" s="5">
        <v>1580</v>
      </c>
    </row>
  </sheetData>
  <phoneticPr fontId="1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2025-12-23T07:20:31Z</dcterms:modified>
</cp:coreProperties>
</file>