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5CEFA22B-00F4-4768-A6F7-B8359A98B858}" xr6:coauthVersionLast="47" xr6:coauthVersionMax="47" xr10:uidLastSave="{00000000-0000-0000-0000-000000000000}"/>
  <bookViews>
    <workbookView xWindow="-120" yWindow="-120" windowWidth="20730" windowHeight="11040" activeTab="1" xr2:uid="{857DCF89-7274-422C-AE82-B327B44E2009}"/>
  </bookViews>
  <sheets>
    <sheet name="Budget" sheetId="1" r:id="rId1"/>
    <sheet name="Task" sheetId="2" r:id="rId2"/>
    <sheet name="Reports" sheetId="3" r:id="rId3"/>
  </sheets>
  <definedNames>
    <definedName name="_xlnm._FilterDatabase" localSheetId="1" hidden="1">Task!$D$1:$D$6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C6" i="3"/>
  <c r="C5" i="3"/>
  <c r="C4" i="3"/>
  <c r="C3" i="3"/>
  <c r="C2" i="3"/>
  <c r="B5" i="3"/>
  <c r="B3" i="3"/>
  <c r="B4" i="3"/>
</calcChain>
</file>

<file path=xl/sharedStrings.xml><?xml version="1.0" encoding="utf-8"?>
<sst xmlns="http://schemas.openxmlformats.org/spreadsheetml/2006/main" count="34" uniqueCount="22">
  <si>
    <t>Expense Category</t>
  </si>
  <si>
    <t>Allocation(in $)</t>
  </si>
  <si>
    <t>Labor</t>
  </si>
  <si>
    <t>Materials</t>
  </si>
  <si>
    <t>Equipment</t>
  </si>
  <si>
    <t>Miscellaneous</t>
  </si>
  <si>
    <t>Task</t>
  </si>
  <si>
    <t>Assigned To</t>
  </si>
  <si>
    <t>Deadline</t>
  </si>
  <si>
    <t>Status</t>
  </si>
  <si>
    <t>In Progress</t>
  </si>
  <si>
    <t>Not Started</t>
  </si>
  <si>
    <t>Foundation</t>
  </si>
  <si>
    <t>Framing</t>
  </si>
  <si>
    <t>Electrical</t>
  </si>
  <si>
    <t>Plumbing</t>
  </si>
  <si>
    <t>Finishing</t>
  </si>
  <si>
    <t>Sarah</t>
  </si>
  <si>
    <t>John</t>
  </si>
  <si>
    <t>Mike</t>
  </si>
  <si>
    <t>Total Project Cost</t>
  </si>
  <si>
    <t>Number of Task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</si>
</sst>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Allocation(in 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9B-44F0-96B0-0423EC97C7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9B-44F0-96B0-0423EC97C7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9B-44F0-96B0-0423EC97C7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9B-44F0-96B0-0423EC97C799}"/>
              </c:ext>
            </c:extLst>
          </c:dPt>
          <c:cat>
            <c:strRef>
              <c:f>Budget!$A$2:$A$5</c:f>
              <c:strCache>
                <c:ptCount val="4"/>
                <c:pt idx="0">
                  <c:v>Labor</c:v>
                </c:pt>
                <c:pt idx="1">
                  <c:v>Materials</c:v>
                </c:pt>
                <c:pt idx="2">
                  <c:v>Equipment</c:v>
                </c:pt>
                <c:pt idx="3">
                  <c:v>Miscellaneous</c:v>
                </c:pt>
              </c:strCache>
            </c:strRef>
          </c:cat>
          <c:val>
            <c:numRef>
              <c:f>Budget!$B$2:$B$5</c:f>
              <c:numCache>
                <c:formatCode>General</c:formatCode>
                <c:ptCount val="4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C-447D-9409-D70F5A3E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Task</a:t>
            </a:r>
            <a:r>
              <a:rPr lang="en-IN" baseline="0"/>
              <a:t> Timelines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Task!$B$10</c:f>
              <c:strCache>
                <c:ptCount val="1"/>
                <c:pt idx="0">
                  <c:v>Deadline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Task!$A$11:$A$15</c:f>
              <c:strCache>
                <c:ptCount val="5"/>
                <c:pt idx="0">
                  <c:v>Foundation</c:v>
                </c:pt>
                <c:pt idx="1">
                  <c:v>Framing</c:v>
                </c:pt>
                <c:pt idx="2">
                  <c:v>Electrical</c:v>
                </c:pt>
                <c:pt idx="3">
                  <c:v>Plumbing</c:v>
                </c:pt>
                <c:pt idx="4">
                  <c:v>Finishing</c:v>
                </c:pt>
              </c:strCache>
            </c:strRef>
          </c:cat>
          <c:val>
            <c:numRef>
              <c:f>Task!$B$11:$B$15</c:f>
              <c:numCache>
                <c:formatCode>m/d/yyyy</c:formatCode>
                <c:ptCount val="5"/>
                <c:pt idx="0">
                  <c:v>45017</c:v>
                </c:pt>
                <c:pt idx="1">
                  <c:v>45026</c:v>
                </c:pt>
                <c:pt idx="2">
                  <c:v>45056</c:v>
                </c:pt>
                <c:pt idx="3">
                  <c:v>45051</c:v>
                </c:pt>
                <c:pt idx="4">
                  <c:v>45066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0-43A3-884A-192744AA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7119552"/>
        <c:axId val="607123152"/>
      </c:barChart>
      <c:catAx>
        <c:axId val="60711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23152"/>
        <c:crosses val="autoZero"/>
        <c:auto val="1"/>
        <c:lblAlgn val="ctr"/>
        <c:lblOffset val="100"/>
        <c:noMultiLvlLbl val="0"/>
      </c:catAx>
      <c:valAx>
        <c:axId val="60712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1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Reports!$B$1</c:f>
              <c:strCache>
                <c:ptCount val="1"/>
                <c:pt idx="0">
                  <c:v>Total Project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A9-4C00-9655-D6BB71E957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A9-4C00-9655-D6BB71E957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A9-4C00-9655-D6BB71E957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A9-4C00-9655-D6BB71E957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A9-4C00-9655-D6BB71E957D9}"/>
              </c:ext>
            </c:extLst>
          </c:dPt>
          <c:val>
            <c:numRef>
              <c:f>Reports!$B$2:$B$6</c:f>
              <c:numCache>
                <c:formatCode>General</c:formatCode>
                <c:ptCount val="5"/>
                <c:pt idx="0">
                  <c:v>105000</c:v>
                </c:pt>
                <c:pt idx="1">
                  <c:v>55000</c:v>
                </c:pt>
                <c:pt idx="2">
                  <c:v>25000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8-4651-BB0A-096572A5E72F}"/>
            </c:ext>
          </c:extLst>
        </c:ser>
        <c:ser>
          <c:idx val="1"/>
          <c:order val="1"/>
          <c:tx>
            <c:strRef>
              <c:f>Reports!$C$1</c:f>
              <c:strCache>
                <c:ptCount val="1"/>
                <c:pt idx="0">
                  <c:v>Number of Task in Progress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4A9-4C00-9655-D6BB71E957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4A9-4C00-9655-D6BB71E957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4A9-4C00-9655-D6BB71E957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4A9-4C00-9655-D6BB71E957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4A9-4C00-9655-D6BB71E957D9}"/>
              </c:ext>
            </c:extLst>
          </c:dPt>
          <c:val>
            <c:numRef>
              <c:f>Reports!$C$2:$C$6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8-4651-BB0A-096572A5E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119062</xdr:rowOff>
    </xdr:from>
    <xdr:to>
      <xdr:col>9</xdr:col>
      <xdr:colOff>552450</xdr:colOff>
      <xdr:row>13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21752-17DA-5968-7E4E-C768FCFFC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0</xdr:row>
      <xdr:rowOff>242886</xdr:rowOff>
    </xdr:from>
    <xdr:to>
      <xdr:col>15</xdr:col>
      <xdr:colOff>66674</xdr:colOff>
      <xdr:row>14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AFB06-BA28-C635-6780-8F4B5D977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185737</xdr:rowOff>
    </xdr:from>
    <xdr:to>
      <xdr:col>11</xdr:col>
      <xdr:colOff>361950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CE53E-B196-1DF0-554A-61D77BF7A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ED4-64EA-4938-96E7-F92121DB2E95}">
  <dimension ref="A1:B5"/>
  <sheetViews>
    <sheetView workbookViewId="0">
      <selection activeCell="B15" sqref="B15"/>
    </sheetView>
  </sheetViews>
  <sheetFormatPr defaultRowHeight="15" x14ac:dyDescent="0.25"/>
  <cols>
    <col min="1" max="1" width="27.28515625" customWidth="1"/>
    <col min="2" max="2" width="26.85546875" customWidth="1"/>
  </cols>
  <sheetData>
    <row r="1" spans="1:2" ht="21" x14ac:dyDescent="0.35">
      <c r="A1" s="1" t="s">
        <v>0</v>
      </c>
      <c r="B1" s="1" t="s">
        <v>1</v>
      </c>
    </row>
    <row r="2" spans="1:2" ht="18.75" x14ac:dyDescent="0.3">
      <c r="A2" s="2" t="s">
        <v>2</v>
      </c>
      <c r="B2" s="2">
        <v>50000</v>
      </c>
    </row>
    <row r="3" spans="1:2" ht="18.75" x14ac:dyDescent="0.3">
      <c r="A3" s="2" t="s">
        <v>3</v>
      </c>
      <c r="B3" s="2">
        <v>30000</v>
      </c>
    </row>
    <row r="4" spans="1:2" ht="18.75" x14ac:dyDescent="0.3">
      <c r="A4" s="2" t="s">
        <v>4</v>
      </c>
      <c r="B4" s="2">
        <v>20000</v>
      </c>
    </row>
    <row r="5" spans="1:2" ht="18.75" x14ac:dyDescent="0.3">
      <c r="A5" s="2" t="s">
        <v>5</v>
      </c>
      <c r="B5" s="2">
        <v>5000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4523-C37B-45CB-8AE3-47D8C4953464}">
  <dimension ref="A1:D15"/>
  <sheetViews>
    <sheetView tabSelected="1" workbookViewId="0">
      <selection activeCell="D17" sqref="D17"/>
    </sheetView>
  </sheetViews>
  <sheetFormatPr defaultRowHeight="15" x14ac:dyDescent="0.25"/>
  <cols>
    <col min="1" max="1" width="18.42578125" customWidth="1"/>
    <col min="2" max="2" width="18.140625" customWidth="1"/>
    <col min="3" max="4" width="18.42578125" customWidth="1"/>
  </cols>
  <sheetData>
    <row r="1" spans="1:4" ht="21" x14ac:dyDescent="0.35">
      <c r="A1" s="1" t="s">
        <v>6</v>
      </c>
      <c r="B1" s="1" t="s">
        <v>7</v>
      </c>
      <c r="C1" s="1" t="s">
        <v>8</v>
      </c>
      <c r="D1" s="1" t="s">
        <v>9</v>
      </c>
    </row>
    <row r="2" spans="1:4" ht="18.75" x14ac:dyDescent="0.3">
      <c r="A2" s="2" t="s">
        <v>12</v>
      </c>
      <c r="B2" s="2" t="s">
        <v>18</v>
      </c>
      <c r="C2" s="3">
        <v>45017</v>
      </c>
      <c r="D2" s="2" t="s">
        <v>11</v>
      </c>
    </row>
    <row r="3" spans="1:4" ht="18.75" x14ac:dyDescent="0.3">
      <c r="A3" s="2" t="s">
        <v>13</v>
      </c>
      <c r="B3" s="2" t="s">
        <v>17</v>
      </c>
      <c r="C3" s="3">
        <v>45026</v>
      </c>
      <c r="D3" s="2" t="s">
        <v>11</v>
      </c>
    </row>
    <row r="4" spans="1:4" ht="18.75" x14ac:dyDescent="0.3">
      <c r="A4" s="2" t="s">
        <v>14</v>
      </c>
      <c r="B4" s="2" t="s">
        <v>19</v>
      </c>
      <c r="C4" s="3">
        <v>45056</v>
      </c>
      <c r="D4" s="2" t="s">
        <v>11</v>
      </c>
    </row>
    <row r="5" spans="1:4" ht="18.75" x14ac:dyDescent="0.3">
      <c r="A5" s="2" t="s">
        <v>15</v>
      </c>
      <c r="B5" s="2" t="s">
        <v>18</v>
      </c>
      <c r="C5" s="3">
        <v>45051</v>
      </c>
      <c r="D5" s="2" t="s">
        <v>10</v>
      </c>
    </row>
    <row r="6" spans="1:4" ht="18.75" x14ac:dyDescent="0.3">
      <c r="A6" s="2" t="s">
        <v>16</v>
      </c>
      <c r="B6" s="2" t="s">
        <v>17</v>
      </c>
      <c r="C6" s="3">
        <v>45066</v>
      </c>
      <c r="D6" s="2" t="s">
        <v>10</v>
      </c>
    </row>
    <row r="10" spans="1:4" ht="21" x14ac:dyDescent="0.35">
      <c r="A10" s="1" t="s">
        <v>6</v>
      </c>
      <c r="B10" s="1" t="s">
        <v>8</v>
      </c>
    </row>
    <row r="11" spans="1:4" ht="18.75" x14ac:dyDescent="0.3">
      <c r="A11" s="2" t="s">
        <v>12</v>
      </c>
      <c r="B11" s="3">
        <v>45017</v>
      </c>
    </row>
    <row r="12" spans="1:4" ht="18.75" x14ac:dyDescent="0.3">
      <c r="A12" s="2" t="s">
        <v>13</v>
      </c>
      <c r="B12" s="3">
        <v>45026</v>
      </c>
    </row>
    <row r="13" spans="1:4" ht="18.75" x14ac:dyDescent="0.3">
      <c r="A13" s="2" t="s">
        <v>14</v>
      </c>
      <c r="B13" s="3">
        <v>45056</v>
      </c>
    </row>
    <row r="14" spans="1:4" ht="18.75" x14ac:dyDescent="0.3">
      <c r="A14" s="2" t="s">
        <v>15</v>
      </c>
      <c r="B14" s="3">
        <v>45051</v>
      </c>
    </row>
    <row r="15" spans="1:4" ht="18.75" x14ac:dyDescent="0.3">
      <c r="A15" s="2" t="s">
        <v>16</v>
      </c>
      <c r="B15" s="3">
        <v>45066</v>
      </c>
    </row>
  </sheetData>
  <dataValidations count="1">
    <dataValidation type="list" allowBlank="1" showInputMessage="1" showErrorMessage="1" sqref="D2:D6" xr:uid="{8B6A903D-A520-4295-93C9-FEA781E2EAC8}">
      <formula1>"In Progress,Not Started,Completed"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0124-E7D9-4885-AAAC-37312C118288}">
  <dimension ref="B1:C6"/>
  <sheetViews>
    <sheetView workbookViewId="0">
      <selection activeCell="B2" sqref="B2"/>
    </sheetView>
  </sheetViews>
  <sheetFormatPr defaultRowHeight="15" x14ac:dyDescent="0.25"/>
  <cols>
    <col min="2" max="2" width="27.42578125" customWidth="1"/>
    <col min="3" max="3" width="37" customWidth="1"/>
  </cols>
  <sheetData>
    <row r="1" spans="2:3" ht="21" x14ac:dyDescent="0.35">
      <c r="B1" s="1" t="s">
        <v>20</v>
      </c>
      <c r="C1" s="1" t="s">
        <v>21</v>
      </c>
    </row>
    <row r="2" spans="2:3" x14ac:dyDescent="0.25">
      <c r="B2">
        <f>SUM(Budget!B2:B5)</f>
        <v>105000</v>
      </c>
      <c r="C2">
        <f>COUNTIF(Task!D2:D5,"Not started")</f>
        <v>3</v>
      </c>
    </row>
    <row r="3" spans="2:3" x14ac:dyDescent="0.25">
      <c r="B3">
        <f>SUM(Budget!B3:B6)</f>
        <v>55000</v>
      </c>
      <c r="C3">
        <f>COUNTIF(Task!D2:D6,"Not Started")</f>
        <v>3</v>
      </c>
    </row>
    <row r="4" spans="2:3" x14ac:dyDescent="0.25">
      <c r="B4">
        <f>SUM(Budget!B4:B7)</f>
        <v>25000</v>
      </c>
      <c r="C4">
        <f>COUNTIF(Task!D2:D7,"Not Started")</f>
        <v>3</v>
      </c>
    </row>
    <row r="5" spans="2:3" x14ac:dyDescent="0.25">
      <c r="B5">
        <f>SUM(Budget!B5:B8)</f>
        <v>5000</v>
      </c>
      <c r="C5">
        <f>COUNTIF(Task!D2:D8,"In Progress")</f>
        <v>2</v>
      </c>
    </row>
    <row r="6" spans="2:3" x14ac:dyDescent="0.25">
      <c r="C6">
        <f>COUNTIF(Task!D2:D9,"In Progress")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Task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2025-12-22T10:27:52Z</dcterms:created>
  <dcterms:modified xsi:type="dcterms:W3CDTF">2025-12-23T04:32:27Z</dcterms:modified>
</cp:coreProperties>
</file>