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8_{22E2EEF4-EBAB-4659-ADA3-4CD53F850DEF}" xr6:coauthVersionLast="47" xr6:coauthVersionMax="47" xr10:uidLastSave="{00000000-0000-0000-0000-000000000000}"/>
  <bookViews>
    <workbookView xWindow="-120" yWindow="-120" windowWidth="20730" windowHeight="11040" activeTab="2" xr2:uid="{73C0CA4E-E352-4B1B-91F7-FC761A56BCBB}"/>
  </bookViews>
  <sheets>
    <sheet name="Budget" sheetId="1" r:id="rId1"/>
    <sheet name="Tasks" sheetId="2" r:id="rId2"/>
    <sheet name="Repo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A3" i="3"/>
  <c r="A4" i="3"/>
  <c r="A5" i="3"/>
  <c r="A2" i="3"/>
</calcChain>
</file>

<file path=xl/sharedStrings.xml><?xml version="1.0" encoding="utf-8"?>
<sst xmlns="http://schemas.openxmlformats.org/spreadsheetml/2006/main" count="27" uniqueCount="23">
  <si>
    <t>Expense Category</t>
  </si>
  <si>
    <t>Allocation</t>
  </si>
  <si>
    <t>Labor</t>
  </si>
  <si>
    <t>Materials</t>
  </si>
  <si>
    <t>Equipment</t>
  </si>
  <si>
    <t>Miscellaneous</t>
  </si>
  <si>
    <t>Task</t>
  </si>
  <si>
    <t>Assigned To</t>
  </si>
  <si>
    <t>Deadline</t>
  </si>
  <si>
    <t>Status</t>
  </si>
  <si>
    <t>Foundation</t>
  </si>
  <si>
    <t>John</t>
  </si>
  <si>
    <t>Not Started</t>
  </si>
  <si>
    <t>Framing</t>
  </si>
  <si>
    <t>Sarah</t>
  </si>
  <si>
    <t>Electrical</t>
  </si>
  <si>
    <t>Mike</t>
  </si>
  <si>
    <t>Plumbing</t>
  </si>
  <si>
    <t>In Progress</t>
  </si>
  <si>
    <t>Finishing</t>
  </si>
  <si>
    <t>Completed</t>
  </si>
  <si>
    <t>Total Project Cost</t>
  </si>
  <si>
    <t>Number of Task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</si>
</sst>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990D-D2D5-4965-A6DA-D882DFDB43C3}">
  <dimension ref="A1:B5"/>
  <sheetViews>
    <sheetView workbookViewId="0">
      <selection activeCell="B2" sqref="B2"/>
    </sheetView>
  </sheetViews>
  <sheetFormatPr defaultRowHeight="15" x14ac:dyDescent="0.25"/>
  <cols>
    <col min="1" max="1" width="23" customWidth="1"/>
    <col min="2" max="2" width="2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50000</v>
      </c>
    </row>
    <row r="3" spans="1:2" x14ac:dyDescent="0.25">
      <c r="A3" t="s">
        <v>3</v>
      </c>
      <c r="B3">
        <v>30000</v>
      </c>
    </row>
    <row r="4" spans="1:2" x14ac:dyDescent="0.25">
      <c r="A4" t="s">
        <v>4</v>
      </c>
      <c r="B4">
        <v>20000</v>
      </c>
    </row>
    <row r="5" spans="1:2" x14ac:dyDescent="0.25">
      <c r="A5" t="s">
        <v>5</v>
      </c>
      <c r="B5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252F-2E4E-4568-86BC-1A8F59C1C5DF}">
  <dimension ref="A1:D6"/>
  <sheetViews>
    <sheetView workbookViewId="0">
      <selection activeCell="D2" sqref="D2:D6"/>
    </sheetView>
  </sheetViews>
  <sheetFormatPr defaultRowHeight="15" x14ac:dyDescent="0.25"/>
  <cols>
    <col min="1" max="1" width="18.42578125" customWidth="1"/>
    <col min="2" max="2" width="19" customWidth="1"/>
    <col min="3" max="3" width="15.42578125" customWidth="1"/>
    <col min="4" max="4" width="16.42578125" customWidth="1"/>
  </cols>
  <sheetData>
    <row r="1" spans="1:4" ht="21" x14ac:dyDescent="0.35">
      <c r="A1" s="1" t="s">
        <v>6</v>
      </c>
      <c r="B1" s="1" t="s">
        <v>7</v>
      </c>
      <c r="C1" s="1" t="s">
        <v>8</v>
      </c>
      <c r="D1" s="1" t="s">
        <v>9</v>
      </c>
    </row>
    <row r="2" spans="1:4" ht="18.75" x14ac:dyDescent="0.3">
      <c r="A2" s="2" t="s">
        <v>10</v>
      </c>
      <c r="B2" s="2" t="s">
        <v>11</v>
      </c>
      <c r="C2" s="3">
        <v>45017</v>
      </c>
      <c r="D2" s="2" t="s">
        <v>18</v>
      </c>
    </row>
    <row r="3" spans="1:4" ht="18.75" x14ac:dyDescent="0.3">
      <c r="A3" s="2" t="s">
        <v>13</v>
      </c>
      <c r="B3" s="2" t="s">
        <v>14</v>
      </c>
      <c r="C3" s="3">
        <v>45026</v>
      </c>
      <c r="D3" s="2" t="s">
        <v>18</v>
      </c>
    </row>
    <row r="4" spans="1:4" ht="18.75" x14ac:dyDescent="0.3">
      <c r="A4" s="2" t="s">
        <v>15</v>
      </c>
      <c r="B4" s="2" t="s">
        <v>16</v>
      </c>
      <c r="C4" s="3">
        <v>45056</v>
      </c>
      <c r="D4" s="2" t="s">
        <v>12</v>
      </c>
    </row>
    <row r="5" spans="1:4" ht="18.75" x14ac:dyDescent="0.3">
      <c r="A5" s="2" t="s">
        <v>17</v>
      </c>
      <c r="B5" s="2" t="s">
        <v>11</v>
      </c>
      <c r="C5" s="3">
        <v>45051</v>
      </c>
      <c r="D5" s="2" t="s">
        <v>20</v>
      </c>
    </row>
    <row r="6" spans="1:4" ht="18.75" x14ac:dyDescent="0.3">
      <c r="A6" s="2" t="s">
        <v>19</v>
      </c>
      <c r="B6" s="2" t="s">
        <v>14</v>
      </c>
      <c r="C6" s="3">
        <v>45066</v>
      </c>
      <c r="D6" s="2" t="s">
        <v>20</v>
      </c>
    </row>
  </sheetData>
  <dataValidations count="1">
    <dataValidation type="list" allowBlank="1" showInputMessage="1" showErrorMessage="1" sqref="D2:D6" xr:uid="{F4B5E52A-3433-48E6-A9AA-A3142B8B3002}">
      <formula1>"In Progress,Not Started,Completed"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62CA-A903-4ADC-8A46-EB169E28A5E3}">
  <dimension ref="A1:B6"/>
  <sheetViews>
    <sheetView tabSelected="1" workbookViewId="0">
      <selection activeCell="B2" sqref="B2"/>
    </sheetView>
  </sheetViews>
  <sheetFormatPr defaultRowHeight="15" x14ac:dyDescent="0.25"/>
  <cols>
    <col min="1" max="1" width="25" customWidth="1"/>
    <col min="2" max="2" width="37.42578125" customWidth="1"/>
  </cols>
  <sheetData>
    <row r="1" spans="1:2" ht="21" x14ac:dyDescent="0.35">
      <c r="A1" s="1" t="s">
        <v>21</v>
      </c>
      <c r="B1" s="1" t="s">
        <v>22</v>
      </c>
    </row>
    <row r="2" spans="1:2" x14ac:dyDescent="0.25">
      <c r="A2">
        <f>SUM(Budget!B2:B5)</f>
        <v>105000</v>
      </c>
      <c r="B2">
        <f>COUNTIF(Tasks!D2:D6,"In Progress")</f>
        <v>2</v>
      </c>
    </row>
    <row r="3" spans="1:2" x14ac:dyDescent="0.25">
      <c r="A3">
        <f>SUM(Budget!B3:B6)</f>
        <v>55000</v>
      </c>
      <c r="B3">
        <f>COUNTIF(Tasks!D2:D6,"In Progress")</f>
        <v>2</v>
      </c>
    </row>
    <row r="4" spans="1:2" x14ac:dyDescent="0.25">
      <c r="A4">
        <f>SUM(Budget!B4:B7)</f>
        <v>25000</v>
      </c>
      <c r="B4">
        <f>COUNTIF(Tasks!D4:D8,"Not Started")</f>
        <v>1</v>
      </c>
    </row>
    <row r="5" spans="1:2" x14ac:dyDescent="0.25">
      <c r="A5">
        <f>SUM(Budget!B5:B8)</f>
        <v>5000</v>
      </c>
      <c r="B5">
        <f>COUNTIF(Tasks!D2:D6,"Completed")</f>
        <v>2</v>
      </c>
    </row>
    <row r="6" spans="1:2" x14ac:dyDescent="0.25">
      <c r="B6">
        <f>COUNTIF(Tasks!D2:D6,"Completed")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Tasks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2025-12-23T03:51:56Z</dcterms:created>
  <dcterms:modified xsi:type="dcterms:W3CDTF">2025-12-23T04:20:59Z</dcterms:modified>
</cp:coreProperties>
</file>