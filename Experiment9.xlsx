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jkm\"/>
    </mc:Choice>
  </mc:AlternateContent>
  <xr:revisionPtr revIDLastSave="0" documentId="13_ncr:1_{B9369AEA-E950-4569-8B23-E6379EBB40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H3" i="1"/>
  <c r="H4" i="1"/>
  <c r="H5" i="1"/>
  <c r="H6" i="1"/>
  <c r="H7" i="1"/>
  <c r="H8" i="1"/>
  <c r="H9" i="1"/>
  <c r="H10" i="1"/>
  <c r="H11" i="1"/>
  <c r="G3" i="1"/>
  <c r="G4" i="1"/>
  <c r="G5" i="1"/>
  <c r="G6" i="1"/>
  <c r="G7" i="1"/>
  <c r="G8" i="1"/>
  <c r="G9" i="1"/>
  <c r="G10" i="1"/>
  <c r="G11" i="1"/>
  <c r="I2" i="1"/>
  <c r="H2" i="1"/>
  <c r="G2" i="1"/>
</calcChain>
</file>

<file path=xl/sharedStrings.xml><?xml version="1.0" encoding="utf-8"?>
<sst xmlns="http://schemas.openxmlformats.org/spreadsheetml/2006/main" count="19" uniqueCount="19">
  <si>
    <t>Employee No</t>
  </si>
  <si>
    <t>Employee Name</t>
  </si>
  <si>
    <t>Travelling Allowance(TA)</t>
  </si>
  <si>
    <t>Income Tax(IT)</t>
  </si>
  <si>
    <t>Basic Payment</t>
  </si>
  <si>
    <t>Dearness Allowance(DA)</t>
  </si>
  <si>
    <t>House Rent Allowance(HRA)</t>
  </si>
  <si>
    <t>Net Pay(NP)</t>
  </si>
  <si>
    <t>Provident Fund(PF)</t>
  </si>
  <si>
    <t>John</t>
  </si>
  <si>
    <t>Alice</t>
  </si>
  <si>
    <t>Bob</t>
  </si>
  <si>
    <t>Sarah</t>
  </si>
  <si>
    <t>James</t>
  </si>
  <si>
    <t>David</t>
  </si>
  <si>
    <t>Emma</t>
  </si>
  <si>
    <t>Micheal</t>
  </si>
  <si>
    <t>Ethan</t>
  </si>
  <si>
    <t>Sophia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</si>
</sst>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Net Pay(NP)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Sheet1!$I$2:$I$11</c:f>
              <c:numCache>
                <c:formatCode>General</c:formatCode>
                <c:ptCount val="10"/>
                <c:pt idx="0">
                  <c:v>56990</c:v>
                </c:pt>
                <c:pt idx="1">
                  <c:v>62689</c:v>
                </c:pt>
                <c:pt idx="2">
                  <c:v>68388</c:v>
                </c:pt>
                <c:pt idx="3">
                  <c:v>54710.400000000001</c:v>
                </c:pt>
                <c:pt idx="4">
                  <c:v>59269.599999999999</c:v>
                </c:pt>
                <c:pt idx="5">
                  <c:v>70602</c:v>
                </c:pt>
                <c:pt idx="6">
                  <c:v>58129.8</c:v>
                </c:pt>
                <c:pt idx="7">
                  <c:v>66108.399999999994</c:v>
                </c:pt>
                <c:pt idx="8">
                  <c:v>74087</c:v>
                </c:pt>
                <c:pt idx="9">
                  <c:v>60409.4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9-484E-AAD8-C575117C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9186320"/>
        <c:axId val="609188480"/>
      </c:barChart>
      <c:catAx>
        <c:axId val="60918632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88480"/>
        <c:crosses val="autoZero"/>
        <c:auto val="1"/>
        <c:lblAlgn val="ctr"/>
        <c:lblOffset val="100"/>
        <c:noMultiLvlLbl val="0"/>
      </c:catAx>
      <c:valAx>
        <c:axId val="60918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8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1104901</xdr:colOff>
      <xdr:row>11</xdr:row>
      <xdr:rowOff>71437</xdr:rowOff>
    </xdr:from>
    <xdr:to>
      <xdr:col>5</xdr:col>
      <xdr:colOff>1676401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8827A-2AA0-3FFD-5766-706C18B73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1"/>
  <sheetViews>
    <sheetView tabSelected="1" workbookViewId="0">
      <selection activeCell="G17" sqref="G17"/>
    </sheetView>
  </sheetViews>
  <sheetFormatPr defaultRowHeight="15" x14ac:dyDescent="0.25"/>
  <cols>
    <col min="1" max="2" width="18.28515625" customWidth="1"/>
    <col min="3" max="3" width="18.140625" customWidth="1"/>
    <col min="4" max="4" width="23.28515625" customWidth="1"/>
    <col min="5" max="5" width="24.140625" customWidth="1"/>
    <col min="6" max="6" width="26.140625" customWidth="1"/>
    <col min="7" max="8" width="18.42578125" customWidth="1"/>
    <col min="9" max="9" width="18.140625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  <c r="G1" t="s">
        <v>3</v>
      </c>
      <c r="H1" t="s">
        <v>8</v>
      </c>
      <c r="I1" s="1" t="s">
        <v>7</v>
      </c>
    </row>
    <row r="2" spans="1:9" x14ac:dyDescent="0.25">
      <c r="A2">
        <v>101</v>
      </c>
      <c r="B2" t="s">
        <v>9</v>
      </c>
      <c r="C2">
        <v>50000</v>
      </c>
      <c r="D2">
        <v>5000</v>
      </c>
      <c r="E2">
        <v>7500</v>
      </c>
      <c r="F2">
        <v>7000</v>
      </c>
      <c r="G2">
        <f>0.1*(C2+D2+E2+F2)</f>
        <v>6950</v>
      </c>
      <c r="H2">
        <f>0.08*(C2+D2+E2+F2)</f>
        <v>5560</v>
      </c>
      <c r="I2" s="1">
        <f>(C2+D2+E2+F2)-G2-H2</f>
        <v>56990</v>
      </c>
    </row>
    <row r="3" spans="1:9" x14ac:dyDescent="0.25">
      <c r="A3">
        <v>102</v>
      </c>
      <c r="B3" t="s">
        <v>10</v>
      </c>
      <c r="C3">
        <v>55000</v>
      </c>
      <c r="D3">
        <v>5500</v>
      </c>
      <c r="E3">
        <v>8250</v>
      </c>
      <c r="F3">
        <v>7700</v>
      </c>
      <c r="G3">
        <f t="shared" ref="G3:G11" si="0">0.1*(C3+D3+E3+F3)</f>
        <v>7645</v>
      </c>
      <c r="H3">
        <f t="shared" ref="H3:H11" si="1">0.08*(C3+D3+E3+F3)</f>
        <v>6116</v>
      </c>
      <c r="I3" s="1">
        <f t="shared" ref="I3:I11" si="2">(C3+D3+E3+F3)-G3-H3</f>
        <v>62689</v>
      </c>
    </row>
    <row r="4" spans="1:9" x14ac:dyDescent="0.25">
      <c r="A4">
        <v>103</v>
      </c>
      <c r="B4" t="s">
        <v>11</v>
      </c>
      <c r="C4">
        <v>60000</v>
      </c>
      <c r="D4">
        <v>6000</v>
      </c>
      <c r="E4">
        <v>9000</v>
      </c>
      <c r="F4">
        <v>8400</v>
      </c>
      <c r="G4">
        <f t="shared" si="0"/>
        <v>8340</v>
      </c>
      <c r="H4">
        <f t="shared" si="1"/>
        <v>6672</v>
      </c>
      <c r="I4" s="1">
        <f t="shared" si="2"/>
        <v>68388</v>
      </c>
    </row>
    <row r="5" spans="1:9" x14ac:dyDescent="0.25">
      <c r="A5">
        <v>104</v>
      </c>
      <c r="B5" t="s">
        <v>12</v>
      </c>
      <c r="C5">
        <v>48000</v>
      </c>
      <c r="D5">
        <v>4800</v>
      </c>
      <c r="E5">
        <v>7200</v>
      </c>
      <c r="F5">
        <v>6720</v>
      </c>
      <c r="G5">
        <f t="shared" si="0"/>
        <v>6672</v>
      </c>
      <c r="H5">
        <f t="shared" si="1"/>
        <v>5337.6</v>
      </c>
      <c r="I5" s="1">
        <f t="shared" si="2"/>
        <v>54710.400000000001</v>
      </c>
    </row>
    <row r="6" spans="1:9" x14ac:dyDescent="0.25">
      <c r="A6">
        <v>105</v>
      </c>
      <c r="B6" t="s">
        <v>13</v>
      </c>
      <c r="C6">
        <v>52000</v>
      </c>
      <c r="D6">
        <v>5200</v>
      </c>
      <c r="E6">
        <v>7800</v>
      </c>
      <c r="F6">
        <v>7280</v>
      </c>
      <c r="G6">
        <f t="shared" si="0"/>
        <v>7228</v>
      </c>
      <c r="H6">
        <f t="shared" si="1"/>
        <v>5782.4000000000005</v>
      </c>
      <c r="I6" s="1">
        <f t="shared" si="2"/>
        <v>59269.599999999999</v>
      </c>
    </row>
    <row r="7" spans="1:9" x14ac:dyDescent="0.25">
      <c r="A7">
        <v>106</v>
      </c>
      <c r="B7" t="s">
        <v>14</v>
      </c>
      <c r="C7">
        <v>62000</v>
      </c>
      <c r="D7">
        <v>6200</v>
      </c>
      <c r="E7">
        <v>9300</v>
      </c>
      <c r="F7">
        <v>8600</v>
      </c>
      <c r="G7">
        <f t="shared" si="0"/>
        <v>8610</v>
      </c>
      <c r="H7">
        <f t="shared" si="1"/>
        <v>6888</v>
      </c>
      <c r="I7" s="1">
        <f t="shared" si="2"/>
        <v>70602</v>
      </c>
    </row>
    <row r="8" spans="1:9" x14ac:dyDescent="0.25">
      <c r="A8">
        <v>107</v>
      </c>
      <c r="B8" t="s">
        <v>15</v>
      </c>
      <c r="C8">
        <v>51000</v>
      </c>
      <c r="D8">
        <v>5100</v>
      </c>
      <c r="E8">
        <v>7650</v>
      </c>
      <c r="F8">
        <v>7140</v>
      </c>
      <c r="G8">
        <f t="shared" si="0"/>
        <v>7089</v>
      </c>
      <c r="H8">
        <f t="shared" si="1"/>
        <v>5671.2</v>
      </c>
      <c r="I8" s="1">
        <f t="shared" si="2"/>
        <v>58129.8</v>
      </c>
    </row>
    <row r="9" spans="1:9" x14ac:dyDescent="0.25">
      <c r="A9">
        <v>108</v>
      </c>
      <c r="B9" t="s">
        <v>16</v>
      </c>
      <c r="C9">
        <v>58000</v>
      </c>
      <c r="D9">
        <v>5800</v>
      </c>
      <c r="E9">
        <v>8700</v>
      </c>
      <c r="F9">
        <v>8120</v>
      </c>
      <c r="G9">
        <f t="shared" si="0"/>
        <v>8062</v>
      </c>
      <c r="H9">
        <f t="shared" si="1"/>
        <v>6449.6</v>
      </c>
      <c r="I9" s="1">
        <f t="shared" si="2"/>
        <v>66108.399999999994</v>
      </c>
    </row>
    <row r="10" spans="1:9" x14ac:dyDescent="0.25">
      <c r="A10">
        <v>109</v>
      </c>
      <c r="B10" t="s">
        <v>17</v>
      </c>
      <c r="C10">
        <v>65000</v>
      </c>
      <c r="D10">
        <v>6500</v>
      </c>
      <c r="E10">
        <v>9750</v>
      </c>
      <c r="F10">
        <v>9100</v>
      </c>
      <c r="G10">
        <f t="shared" si="0"/>
        <v>9035</v>
      </c>
      <c r="H10">
        <f t="shared" si="1"/>
        <v>7228</v>
      </c>
      <c r="I10" s="1">
        <f t="shared" si="2"/>
        <v>74087</v>
      </c>
    </row>
    <row r="11" spans="1:9" x14ac:dyDescent="0.25">
      <c r="A11">
        <v>110</v>
      </c>
      <c r="B11" t="s">
        <v>18</v>
      </c>
      <c r="C11">
        <v>53000</v>
      </c>
      <c r="D11">
        <v>5300</v>
      </c>
      <c r="E11">
        <v>7950</v>
      </c>
      <c r="F11">
        <v>7420</v>
      </c>
      <c r="G11">
        <f t="shared" si="0"/>
        <v>7367</v>
      </c>
      <c r="H11">
        <f t="shared" si="1"/>
        <v>5893.6</v>
      </c>
      <c r="I11" s="1">
        <f t="shared" si="2"/>
        <v>60409.4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2025-12-23T07:20:41Z</dcterms:modified>
</cp:coreProperties>
</file>